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"/>
    </mc:Choice>
  </mc:AlternateContent>
  <xr:revisionPtr revIDLastSave="0" documentId="13_ncr:1_{2DF4E21C-8D49-AB49-8C45-488BC22DF26F}" xr6:coauthVersionLast="47" xr6:coauthVersionMax="47" xr10:uidLastSave="{00000000-0000-0000-0000-000000000000}"/>
  <bookViews>
    <workbookView xWindow="0" yWindow="500" windowWidth="28800" windowHeight="15520" activeTab="1" xr2:uid="{739E7E76-B958-E04B-974D-D9F60427B0E2}"/>
  </bookViews>
  <sheets>
    <sheet name="Weights" sheetId="1" r:id="rId1"/>
    <sheet name="Overall Avgs Vis" sheetId="4" r:id="rId2"/>
    <sheet name="Overall Avgs." sheetId="2" r:id="rId3"/>
    <sheet name="Aggregated Data" sheetId="3" r:id="rId4"/>
    <sheet name="County Map Data (24-25)" sheetId="5" r:id="rId5"/>
  </sheets>
  <definedNames>
    <definedName name="ExternalData_1" localSheetId="1" hidden="1">'Overall Avgs Vis'!$A$1:$C$25</definedName>
    <definedName name="ExternalData_1" localSheetId="2" hidden="1">'Overall Avgs.'!$E$1:$G$25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3" l="1"/>
  <c r="J5" i="3"/>
  <c r="J4" i="3"/>
  <c r="J3" i="3"/>
  <c r="J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F1CC81-E2FF-134F-8887-F147AFF0CE2E}" keepAlive="1" name="Query - Overall Avgs" description="Connection to the 'Overall Avgs' query in the workbook." type="5" refreshedVersion="8" background="1" saveData="1">
    <dbPr connection="Provider=Microsoft.Mashup.OleDb.1;Data Source=$Workbook$;Location=&quot;Overall Avgs&quot;;Extended Properties=&quot;&quot;" command="SELECT * FROM [Overall Avgs]"/>
  </connection>
  <connection id="2" xr16:uid="{7161E546-FF4E-6F42-BC20-322953DA7F0B}" keepAlive="1" name="Query - Overall Avgs (2)" description="Connection to the 'Overall Avgs (2)' query in the workbook." type="5" refreshedVersion="8" background="1" saveData="1">
    <dbPr connection="Provider=Microsoft.Mashup.OleDb.1;Data Source=$Workbook$;Location=&quot;Overall Avgs (2)&quot;;Extended Properties=&quot;&quot;" command="SELECT * FROM [Overall Avgs (2)]"/>
  </connection>
  <connection id="3" xr16:uid="{EA8EEC6B-FD91-3548-8E42-56572C5CCDE6}" keepAlive="1" name="Query - Overall Avgs (3)" description="Connection to the 'Overall Avgs (3)' query in the workbook." type="5" refreshedVersion="8" background="1" saveData="1">
    <dbPr connection="Provider=Microsoft.Mashup.OleDb.1;Data Source=$Workbook$;Location=&quot;Overall Avgs (3)&quot;;Extended Properties=&quot;&quot;" command="SELECT * FROM [Overall Avgs (3)]"/>
  </connection>
  <connection id="4" xr16:uid="{1101445F-3FD1-9D41-BBB2-E7B4DE9F53B3}" keepAlive="1" name="Query - Overall Avgs (4)" description="Connection to the 'Overall Avgs (4)' query in the workbook." type="5" refreshedVersion="8" background="1" saveData="1">
    <dbPr connection="Provider=Microsoft.Mashup.OleDb.1;Data Source=$Workbook$;Location=&quot;Overall Avgs (4)&quot;;Extended Properties=&quot;&quot;" command="SELECT * FROM [Overall Avgs (4)]"/>
  </connection>
</connections>
</file>

<file path=xl/sharedStrings.xml><?xml version="1.0" encoding="utf-8"?>
<sst xmlns="http://schemas.openxmlformats.org/spreadsheetml/2006/main" count="396" uniqueCount="38">
  <si>
    <t>Year</t>
  </si>
  <si>
    <t>County</t>
  </si>
  <si>
    <t>Attendance</t>
  </si>
  <si>
    <t>Berkshire</t>
  </si>
  <si>
    <t>Average # of Absences</t>
  </si>
  <si>
    <t>Chronically Absent (10% or more)</t>
  </si>
  <si>
    <t>Franklin</t>
  </si>
  <si>
    <t>Hampden</t>
  </si>
  <si>
    <t>Hampshire</t>
  </si>
  <si>
    <t>Worcester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</si>
  <si>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</si>
  <si>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</si>
  <si>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</si>
  <si>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</si>
  <si>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</si>
  <si>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</si>
  <si>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</si>
  <si>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</si>
  <si>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Overall Average Attendance</t>
  </si>
  <si>
    <t>Overall Average # of Absences</t>
  </si>
  <si>
    <t>Overall Average Chronically Absent (10% or more)</t>
  </si>
  <si>
    <t>Attendance Weights</t>
  </si>
  <si>
    <t>Average # Absences Weights</t>
  </si>
  <si>
    <t>Chronically Absent Weights</t>
  </si>
  <si>
    <t>School Year</t>
  </si>
  <si>
    <t>Longitude</t>
  </si>
  <si>
    <t>Latitude</t>
  </si>
  <si>
    <t>County Upper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</si>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</sst>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2" borderId="0" xfId="0" applyFont="1" applyFill="1"/>
    <xf numFmtId="0" fontId="2" fillId="0" borderId="0" xfId="0" applyFont="1"/>
    <xf numFmtId="2" fontId="0" fillId="0" borderId="0" xfId="0" applyNumberFormat="1"/>
    <xf numFmtId="2" fontId="1" fillId="2" borderId="0" xfId="0" applyNumberFormat="1" applyFont="1" applyFill="1"/>
    <xf numFmtId="0" fontId="4" fillId="0" borderId="0" xfId="0" applyFont="1"/>
    <xf numFmtId="164" fontId="5" fillId="0" borderId="0" xfId="0" applyNumberFormat="1" applyFont="1"/>
    <xf numFmtId="0" fontId="0" fillId="2" borderId="0" xfId="0" applyFill="1"/>
    <xf numFmtId="2" fontId="0" fillId="2" borderId="0" xfId="0" applyNumberFormat="1" applyFill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B81C93-17DB-814F-811A-6BF4EEBA815B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7E0C589-698B-B448-813B-0F345A775061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00CFE-F1E3-0944-A634-DD7B7637BEFC}" name="Overall_Avgs__3" displayName="Overall_Avgs__3" ref="A1:C25" tableType="queryTable" totalsRowShown="0">
  <autoFilter ref="A1:C25" xr:uid="{E5500CFE-F1E3-0944-A634-DD7B7637BEFC}"/>
  <tableColumns count="3">
    <tableColumn id="1" xr3:uid="{6D4ABDD7-8B42-6C4F-92EC-8BAFA765D5AA}" uniqueName="1" name="Year" queryTableFieldId="1" dataDxfId="1"/>
    <tableColumn id="2" xr3:uid="{1AF3D08A-A10F-B34E-A0D0-183D058ED674}" uniqueName="2" name="Attribute" queryTableFieldId="2" dataDxfId="0"/>
    <tableColumn id="3" xr3:uid="{1C09FFC1-C2A3-4F4F-96BC-478C68B08E33}" uniqueName="3" name="Val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608AF5-D4BF-B94B-BB37-5A8BD7AE4E15}" name="Overall_Avgs__33" displayName="Overall_Avgs__33" ref="E1:G25" tableType="queryTable" totalsRowShown="0">
  <autoFilter ref="E1:G25" xr:uid="{21608AF5-D4BF-B94B-BB37-5A8BD7AE4E15}"/>
  <tableColumns count="3">
    <tableColumn id="1" xr3:uid="{FF019341-847E-3B41-A6E3-33C795CE58BC}" uniqueName="1" name="Year" queryTableFieldId="1" dataDxfId="3"/>
    <tableColumn id="2" xr3:uid="{A766D5F6-7B20-3944-A195-0F1A9553BD27}" uniqueName="2" name="Attribute" queryTableFieldId="2" dataDxfId="2"/>
    <tableColumn id="3" xr3:uid="{111E525A-2D90-8E43-B18E-E56EC5CADEA6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2166-B018-D346-A89F-1183FC4564A3}">
  <dimension ref="A1:E41"/>
  <sheetViews>
    <sheetView zoomScale="109" workbookViewId="0">
      <selection activeCell="D17" sqref="D17"/>
    </sheetView>
  </sheetViews>
  <sheetFormatPr baseColWidth="10" defaultRowHeight="16" x14ac:dyDescent="0.2"/>
  <cols>
    <col min="1" max="1" width="10" style="1" bestFit="1" customWidth="1"/>
    <col min="2" max="2" width="9.83203125" style="1" bestFit="1" customWidth="1"/>
    <col min="3" max="3" width="10.6640625" style="1" bestFit="1" customWidth="1"/>
    <col min="4" max="4" width="19.83203125" style="1" bestFit="1" customWidth="1"/>
    <col min="5" max="5" width="29" style="1" bestFit="1" customWidth="1"/>
    <col min="6" max="16384" width="10.83203125" style="1"/>
  </cols>
  <sheetData>
    <row r="1" spans="1:5" x14ac:dyDescent="0.2">
      <c r="A1" s="4" t="s">
        <v>1</v>
      </c>
      <c r="B1" s="4" t="s">
        <v>0</v>
      </c>
      <c r="C1" s="4" t="s">
        <v>2</v>
      </c>
      <c r="D1" s="4" t="s">
        <v>4</v>
      </c>
      <c r="E1" s="4" t="s">
        <v>5</v>
      </c>
    </row>
    <row r="2" spans="1:5" x14ac:dyDescent="0.2">
      <c r="A2" s="1" t="s">
        <v>3</v>
      </c>
      <c r="B2" s="3" t="s">
        <v>10</v>
      </c>
      <c r="C2" s="6">
        <v>93.00332292317303</v>
      </c>
      <c r="D2" s="6">
        <v>12.120861961274199</v>
      </c>
      <c r="E2" s="6">
        <v>21.34124921923798</v>
      </c>
    </row>
    <row r="3" spans="1:5" x14ac:dyDescent="0.2">
      <c r="A3" s="1" t="s">
        <v>6</v>
      </c>
      <c r="B3" s="1" t="s">
        <v>10</v>
      </c>
      <c r="C3" s="2">
        <v>93.4223824155046</v>
      </c>
      <c r="D3" s="2">
        <v>11.054762467501771</v>
      </c>
      <c r="E3" s="2">
        <v>18.80784684471756</v>
      </c>
    </row>
    <row r="4" spans="1:5" x14ac:dyDescent="0.2">
      <c r="A4" s="1" t="s">
        <v>7</v>
      </c>
      <c r="B4" s="1" t="s">
        <v>10</v>
      </c>
      <c r="C4" s="2">
        <v>93.276128647327909</v>
      </c>
      <c r="D4" s="2">
        <v>11.266144841889931</v>
      </c>
      <c r="E4" s="2">
        <v>18.371159473818789</v>
      </c>
    </row>
    <row r="5" spans="1:5" x14ac:dyDescent="0.2">
      <c r="A5" s="1" t="s">
        <v>8</v>
      </c>
      <c r="B5" s="1" t="s">
        <v>10</v>
      </c>
      <c r="C5" s="2">
        <v>94.114457300275475</v>
      </c>
      <c r="D5" s="2">
        <v>10.304033057851241</v>
      </c>
      <c r="E5" s="2">
        <v>14.981741046831949</v>
      </c>
    </row>
    <row r="6" spans="1:5" x14ac:dyDescent="0.2">
      <c r="A6" s="1" t="s">
        <v>9</v>
      </c>
      <c r="B6" s="1" t="s">
        <v>10</v>
      </c>
      <c r="C6" s="2">
        <v>94.430955165692012</v>
      </c>
      <c r="D6" s="2">
        <v>9.5565692007797267</v>
      </c>
      <c r="E6" s="2">
        <v>14.08467368421053</v>
      </c>
    </row>
    <row r="7" spans="1:5" x14ac:dyDescent="0.2">
      <c r="A7" s="1" t="s">
        <v>3</v>
      </c>
      <c r="B7" s="3" t="s">
        <v>11</v>
      </c>
      <c r="C7" s="6">
        <v>93.175146380964236</v>
      </c>
      <c r="D7" s="6">
        <v>11.889298617167061</v>
      </c>
      <c r="E7" s="6">
        <v>20.00803538059051</v>
      </c>
    </row>
    <row r="8" spans="1:5" x14ac:dyDescent="0.2">
      <c r="A8" s="1" t="s">
        <v>6</v>
      </c>
      <c r="B8" s="1" t="s">
        <v>11</v>
      </c>
      <c r="C8" s="2">
        <v>92.991186359269918</v>
      </c>
      <c r="D8" s="2">
        <v>11.70559558117195</v>
      </c>
      <c r="E8" s="2">
        <v>21.20775696445725</v>
      </c>
    </row>
    <row r="9" spans="1:5" x14ac:dyDescent="0.2">
      <c r="A9" s="1" t="s">
        <v>7</v>
      </c>
      <c r="B9" s="1" t="s">
        <v>11</v>
      </c>
      <c r="C9" s="2">
        <v>93.480748961325034</v>
      </c>
      <c r="D9" s="2">
        <v>10.967861026684879</v>
      </c>
      <c r="E9" s="2">
        <v>17.246117168111979</v>
      </c>
    </row>
    <row r="10" spans="1:5" x14ac:dyDescent="0.2">
      <c r="A10" s="1" t="s">
        <v>8</v>
      </c>
      <c r="B10" s="1" t="s">
        <v>11</v>
      </c>
      <c r="C10" s="2">
        <v>94.165336713325232</v>
      </c>
      <c r="D10" s="2">
        <v>10.189077482640799</v>
      </c>
      <c r="E10" s="2">
        <v>15.227741651052581</v>
      </c>
    </row>
    <row r="11" spans="1:5" x14ac:dyDescent="0.2">
      <c r="A11" s="1" t="s">
        <v>9</v>
      </c>
      <c r="B11" s="1" t="s">
        <v>11</v>
      </c>
      <c r="C11" s="2">
        <v>94.394907712074215</v>
      </c>
      <c r="D11" s="2">
        <v>9.7007881294851295</v>
      </c>
      <c r="E11" s="2">
        <v>14.09469775312588</v>
      </c>
    </row>
    <row r="12" spans="1:5" x14ac:dyDescent="0.2">
      <c r="A12" s="1" t="s">
        <v>3</v>
      </c>
      <c r="B12" s="3" t="s">
        <v>12</v>
      </c>
      <c r="C12" s="6">
        <v>93.073195745758412</v>
      </c>
      <c r="D12" s="6">
        <v>7.4150671055963544</v>
      </c>
      <c r="E12" s="6">
        <v>21.044365662192959</v>
      </c>
    </row>
    <row r="13" spans="1:5" x14ac:dyDescent="0.2">
      <c r="A13" s="1" t="s">
        <v>6</v>
      </c>
      <c r="B13" s="1" t="s">
        <v>12</v>
      </c>
      <c r="C13" s="2">
        <v>93.423502851711035</v>
      </c>
      <c r="D13" s="2">
        <v>6.9722908745247141</v>
      </c>
      <c r="E13" s="2">
        <v>18.94890684410646</v>
      </c>
    </row>
    <row r="14" spans="1:5" x14ac:dyDescent="0.2">
      <c r="A14" s="1" t="s">
        <v>7</v>
      </c>
      <c r="B14" s="1" t="s">
        <v>12</v>
      </c>
      <c r="C14" s="2">
        <v>93.554144002691643</v>
      </c>
      <c r="D14" s="2">
        <v>6.8181797790612908</v>
      </c>
      <c r="E14" s="2">
        <v>16.976961251612181</v>
      </c>
    </row>
    <row r="15" spans="1:5" x14ac:dyDescent="0.2">
      <c r="A15" s="1" t="s">
        <v>8</v>
      </c>
      <c r="B15" s="1" t="s">
        <v>12</v>
      </c>
      <c r="C15" s="2">
        <v>94.440401271790364</v>
      </c>
      <c r="D15" s="2">
        <v>5.9594781273983122</v>
      </c>
      <c r="E15" s="2">
        <v>14.240445126630849</v>
      </c>
    </row>
    <row r="16" spans="1:5" x14ac:dyDescent="0.2">
      <c r="A16" s="1" t="s">
        <v>9</v>
      </c>
      <c r="B16" s="1" t="s">
        <v>12</v>
      </c>
      <c r="C16" s="2">
        <v>94.474635027893456</v>
      </c>
      <c r="D16" s="2">
        <v>5.9169827924884109</v>
      </c>
      <c r="E16" s="2">
        <v>14.852665985699691</v>
      </c>
    </row>
    <row r="17" spans="1:5" x14ac:dyDescent="0.2">
      <c r="A17" s="1" t="s">
        <v>3</v>
      </c>
      <c r="B17" s="3" t="s">
        <v>13</v>
      </c>
      <c r="C17" s="6">
        <v>90.939359999999994</v>
      </c>
      <c r="D17" s="6">
        <v>15.04069</v>
      </c>
      <c r="E17" s="6">
        <v>26.750240000000002</v>
      </c>
    </row>
    <row r="18" spans="1:5" x14ac:dyDescent="0.2">
      <c r="A18" s="1" t="s">
        <v>6</v>
      </c>
      <c r="B18" s="1" t="s">
        <v>13</v>
      </c>
      <c r="C18" s="2">
        <v>89.950310000000002</v>
      </c>
      <c r="D18" s="2">
        <v>16.31268</v>
      </c>
      <c r="E18" s="2">
        <v>31.823799999999999</v>
      </c>
    </row>
    <row r="19" spans="1:5" x14ac:dyDescent="0.2">
      <c r="A19" s="1" t="s">
        <v>7</v>
      </c>
      <c r="B19" s="1" t="s">
        <v>13</v>
      </c>
      <c r="C19" s="2">
        <v>92.031099999999995</v>
      </c>
      <c r="D19" s="2">
        <v>13.01207</v>
      </c>
      <c r="E19" s="2">
        <v>22.356259999999999</v>
      </c>
    </row>
    <row r="20" spans="1:5" x14ac:dyDescent="0.2">
      <c r="A20" s="1" t="s">
        <v>8</v>
      </c>
      <c r="B20" s="1" t="s">
        <v>13</v>
      </c>
      <c r="C20" s="2">
        <v>92.869770000000003</v>
      </c>
      <c r="D20" s="2">
        <v>11.867150000000001</v>
      </c>
      <c r="E20" s="2">
        <v>21.68853</v>
      </c>
    </row>
    <row r="21" spans="1:5" x14ac:dyDescent="0.2">
      <c r="A21" s="1" t="s">
        <v>9</v>
      </c>
      <c r="B21" s="1" t="s">
        <v>13</v>
      </c>
      <c r="C21" s="2">
        <v>92.895240000000001</v>
      </c>
      <c r="D21" s="2">
        <v>11.73344</v>
      </c>
      <c r="E21" s="2">
        <v>21.69022</v>
      </c>
    </row>
    <row r="22" spans="1:5" x14ac:dyDescent="0.2">
      <c r="A22" s="1" t="s">
        <v>3</v>
      </c>
      <c r="B22" s="3" t="s">
        <v>14</v>
      </c>
      <c r="C22" s="6">
        <v>89.32535</v>
      </c>
      <c r="D22" s="6">
        <v>18.422889999999999</v>
      </c>
      <c r="E22" s="6">
        <v>36.046210000000002</v>
      </c>
    </row>
    <row r="23" spans="1:5" x14ac:dyDescent="0.2">
      <c r="A23" s="1" t="s">
        <v>6</v>
      </c>
      <c r="B23" s="1" t="s">
        <v>14</v>
      </c>
      <c r="C23" s="2">
        <v>91.615930000000006</v>
      </c>
      <c r="D23" s="2">
        <v>14.156029999999999</v>
      </c>
      <c r="E23" s="2">
        <v>28.666709999999998</v>
      </c>
    </row>
    <row r="24" spans="1:5" x14ac:dyDescent="0.2">
      <c r="A24" s="1" t="s">
        <v>7</v>
      </c>
      <c r="B24" s="1" t="s">
        <v>14</v>
      </c>
      <c r="C24" s="2">
        <v>89.639390000000006</v>
      </c>
      <c r="D24" s="2">
        <v>17.534189999999999</v>
      </c>
      <c r="E24" s="2">
        <v>35.894170000000003</v>
      </c>
    </row>
    <row r="25" spans="1:5" x14ac:dyDescent="0.2">
      <c r="A25" s="1" t="s">
        <v>8</v>
      </c>
      <c r="B25" s="1" t="s">
        <v>14</v>
      </c>
      <c r="C25" s="2">
        <v>91.802220000000005</v>
      </c>
      <c r="D25" s="2">
        <v>14.299849999999999</v>
      </c>
      <c r="E25" s="2">
        <v>26.801870000000001</v>
      </c>
    </row>
    <row r="26" spans="1:5" x14ac:dyDescent="0.2">
      <c r="A26" s="1" t="s">
        <v>9</v>
      </c>
      <c r="B26" s="1" t="s">
        <v>14</v>
      </c>
      <c r="C26" s="2">
        <v>91.434280000000001</v>
      </c>
      <c r="D26" s="2">
        <v>14.765040000000001</v>
      </c>
      <c r="E26" s="2">
        <v>28.429639999999999</v>
      </c>
    </row>
    <row r="27" spans="1:5" x14ac:dyDescent="0.2">
      <c r="A27" s="1" t="s">
        <v>3</v>
      </c>
      <c r="B27" s="3" t="s">
        <v>15</v>
      </c>
      <c r="C27" s="6">
        <v>90.672460000000001</v>
      </c>
      <c r="D27" s="6">
        <v>16.23086</v>
      </c>
      <c r="E27" s="6">
        <v>30.304200000000002</v>
      </c>
    </row>
    <row r="28" spans="1:5" x14ac:dyDescent="0.2">
      <c r="A28" s="1" t="s">
        <v>6</v>
      </c>
      <c r="B28" s="1" t="s">
        <v>15</v>
      </c>
      <c r="C28" s="2">
        <v>89.937640000000002</v>
      </c>
      <c r="D28" s="2">
        <v>16.562139999999999</v>
      </c>
      <c r="E28" s="2">
        <v>25.583950000000002</v>
      </c>
    </row>
    <row r="29" spans="1:5" x14ac:dyDescent="0.2">
      <c r="A29" s="1" t="s">
        <v>7</v>
      </c>
      <c r="B29" s="1" t="s">
        <v>15</v>
      </c>
      <c r="C29" s="2">
        <v>91.227329999999995</v>
      </c>
      <c r="D29" s="2">
        <v>14.889139999999999</v>
      </c>
      <c r="E29" s="2">
        <v>27.914269999999998</v>
      </c>
    </row>
    <row r="30" spans="1:5" x14ac:dyDescent="0.2">
      <c r="A30" s="1" t="s">
        <v>8</v>
      </c>
      <c r="B30" s="1" t="s">
        <v>15</v>
      </c>
      <c r="C30" s="2">
        <v>92.262460000000004</v>
      </c>
      <c r="D30" s="2">
        <v>13.50544</v>
      </c>
      <c r="E30" s="2">
        <v>23.365069999999999</v>
      </c>
    </row>
    <row r="31" spans="1:5" x14ac:dyDescent="0.2">
      <c r="A31" s="1" t="s">
        <v>9</v>
      </c>
      <c r="B31" s="1" t="s">
        <v>15</v>
      </c>
      <c r="C31" s="2">
        <v>92.621889999999993</v>
      </c>
      <c r="D31" s="2">
        <v>12.724170000000001</v>
      </c>
      <c r="E31" s="2">
        <v>22.125070000000001</v>
      </c>
    </row>
    <row r="32" spans="1:5" x14ac:dyDescent="0.2">
      <c r="A32" s="1" t="s">
        <v>3</v>
      </c>
      <c r="B32" s="3" t="s">
        <v>16</v>
      </c>
      <c r="C32" s="6">
        <v>89.974204332709277</v>
      </c>
      <c r="D32" s="6">
        <v>17.332000534902381</v>
      </c>
      <c r="E32" s="6">
        <v>33.125274137469923</v>
      </c>
    </row>
    <row r="33" spans="1:5" x14ac:dyDescent="0.2">
      <c r="A33" s="1" t="s">
        <v>6</v>
      </c>
      <c r="B33" s="1" t="s">
        <v>16</v>
      </c>
      <c r="C33" s="2">
        <v>90.640269196822615</v>
      </c>
      <c r="D33" s="2">
        <v>15.38437775816417</v>
      </c>
      <c r="E33" s="2">
        <v>24.079766107678729</v>
      </c>
    </row>
    <row r="34" spans="1:5" x14ac:dyDescent="0.2">
      <c r="A34" s="1" t="s">
        <v>7</v>
      </c>
      <c r="B34" s="1" t="s">
        <v>16</v>
      </c>
      <c r="C34" s="2">
        <v>91.437583361591507</v>
      </c>
      <c r="D34" s="2">
        <v>14.4877500847745</v>
      </c>
      <c r="E34" s="2">
        <v>27.06687860291624</v>
      </c>
    </row>
    <row r="35" spans="1:5" x14ac:dyDescent="0.2">
      <c r="A35" s="1" t="s">
        <v>8</v>
      </c>
      <c r="B35" s="1" t="s">
        <v>16</v>
      </c>
      <c r="C35" s="2">
        <v>92.889677190493089</v>
      </c>
      <c r="D35" s="2">
        <v>12.44125576445548</v>
      </c>
      <c r="E35" s="2">
        <v>20.09720941232116</v>
      </c>
    </row>
    <row r="36" spans="1:5" x14ac:dyDescent="0.2">
      <c r="A36" s="1" t="s">
        <v>9</v>
      </c>
      <c r="B36" s="1" t="s">
        <v>16</v>
      </c>
      <c r="C36" s="2">
        <v>92.644776915615907</v>
      </c>
      <c r="D36" s="2">
        <v>12.663975105075981</v>
      </c>
      <c r="E36" s="2">
        <v>21.911538958939541</v>
      </c>
    </row>
    <row r="37" spans="1:5" x14ac:dyDescent="0.2">
      <c r="A37" s="1" t="s">
        <v>3</v>
      </c>
      <c r="B37" s="3" t="s">
        <v>17</v>
      </c>
      <c r="C37" s="6">
        <v>90.265379999999993</v>
      </c>
      <c r="D37" s="6">
        <v>16.826170000000001</v>
      </c>
      <c r="E37" s="6">
        <v>31.707409999999999</v>
      </c>
    </row>
    <row r="38" spans="1:5" x14ac:dyDescent="0.2">
      <c r="A38" s="1" t="s">
        <v>6</v>
      </c>
      <c r="B38" s="1" t="s">
        <v>17</v>
      </c>
      <c r="C38" s="2">
        <v>92.831130000000002</v>
      </c>
      <c r="D38" s="2">
        <v>11.90842</v>
      </c>
      <c r="E38" s="2">
        <v>21.8843</v>
      </c>
    </row>
    <row r="39" spans="1:5" x14ac:dyDescent="0.2">
      <c r="A39" s="1" t="s">
        <v>7</v>
      </c>
      <c r="B39" s="1" t="s">
        <v>17</v>
      </c>
      <c r="C39" s="2">
        <v>91.522450000000006</v>
      </c>
      <c r="D39" s="2">
        <v>14.4153</v>
      </c>
      <c r="E39" s="2">
        <v>26.373010000000001</v>
      </c>
    </row>
    <row r="40" spans="1:5" x14ac:dyDescent="0.2">
      <c r="A40" s="1" t="s">
        <v>8</v>
      </c>
      <c r="B40" s="1" t="s">
        <v>17</v>
      </c>
      <c r="C40" s="2">
        <v>92.905389999999997</v>
      </c>
      <c r="D40" s="2">
        <v>12.39029</v>
      </c>
      <c r="E40" s="2">
        <v>19.760079999999999</v>
      </c>
    </row>
    <row r="41" spans="1:5" x14ac:dyDescent="0.2">
      <c r="A41" s="1" t="s">
        <v>9</v>
      </c>
      <c r="B41" s="1" t="s">
        <v>17</v>
      </c>
      <c r="C41" s="2">
        <v>92.787779999999998</v>
      </c>
      <c r="D41" s="2">
        <v>12.44014</v>
      </c>
      <c r="E41" s="2">
        <v>20.750139999999998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F11C-400D-DC48-923B-E4BA75D03800}">
  <dimension ref="A1:C25"/>
  <sheetViews>
    <sheetView tabSelected="1" workbookViewId="0">
      <selection activeCell="E26" sqref="E26"/>
    </sheetView>
  </sheetViews>
  <sheetFormatPr baseColWidth="10" defaultRowHeight="16" x14ac:dyDescent="0.2"/>
  <cols>
    <col min="1" max="1" width="7.33203125" bestFit="1" customWidth="1"/>
    <col min="2" max="2" width="41.6640625" bestFit="1" customWidth="1"/>
    <col min="3" max="3" width="8.33203125" bestFit="1" customWidth="1"/>
  </cols>
  <sheetData>
    <row r="1" spans="1:3" x14ac:dyDescent="0.2">
      <c r="A1" t="s">
        <v>0</v>
      </c>
      <c r="B1" t="s">
        <v>36</v>
      </c>
      <c r="C1" t="s">
        <v>37</v>
      </c>
    </row>
    <row r="2" spans="1:3" x14ac:dyDescent="0.2">
      <c r="A2" t="s">
        <v>28</v>
      </c>
      <c r="B2" t="s">
        <v>18</v>
      </c>
      <c r="C2">
        <v>93.7</v>
      </c>
    </row>
    <row r="3" spans="1:3" x14ac:dyDescent="0.2">
      <c r="A3" t="s">
        <v>28</v>
      </c>
      <c r="B3" t="s">
        <v>19</v>
      </c>
      <c r="C3">
        <v>10.9</v>
      </c>
    </row>
    <row r="4" spans="1:3" x14ac:dyDescent="0.2">
      <c r="A4" t="s">
        <v>28</v>
      </c>
      <c r="B4" t="s">
        <v>20</v>
      </c>
      <c r="C4">
        <v>17.899999999999999</v>
      </c>
    </row>
    <row r="5" spans="1:3" x14ac:dyDescent="0.2">
      <c r="A5" t="s">
        <v>29</v>
      </c>
      <c r="B5" t="s">
        <v>18</v>
      </c>
      <c r="C5">
        <v>93.6</v>
      </c>
    </row>
    <row r="6" spans="1:3" x14ac:dyDescent="0.2">
      <c r="A6" t="s">
        <v>29</v>
      </c>
      <c r="B6" t="s">
        <v>19</v>
      </c>
      <c r="C6">
        <v>11</v>
      </c>
    </row>
    <row r="7" spans="1:3" x14ac:dyDescent="0.2">
      <c r="A7" t="s">
        <v>29</v>
      </c>
      <c r="B7" t="s">
        <v>20</v>
      </c>
      <c r="C7">
        <v>18</v>
      </c>
    </row>
    <row r="8" spans="1:3" x14ac:dyDescent="0.2">
      <c r="A8" t="s">
        <v>30</v>
      </c>
      <c r="B8" t="s">
        <v>18</v>
      </c>
      <c r="C8">
        <v>93.8</v>
      </c>
    </row>
    <row r="9" spans="1:3" x14ac:dyDescent="0.2">
      <c r="A9" t="s">
        <v>30</v>
      </c>
      <c r="B9" t="s">
        <v>19</v>
      </c>
      <c r="C9">
        <v>6.7</v>
      </c>
    </row>
    <row r="10" spans="1:3" x14ac:dyDescent="0.2">
      <c r="A10" t="s">
        <v>30</v>
      </c>
      <c r="B10" t="s">
        <v>20</v>
      </c>
      <c r="C10">
        <v>17.600000000000001</v>
      </c>
    </row>
    <row r="11" spans="1:3" x14ac:dyDescent="0.2">
      <c r="A11" t="s">
        <v>31</v>
      </c>
      <c r="B11" t="s">
        <v>18</v>
      </c>
      <c r="C11">
        <v>91.8</v>
      </c>
    </row>
    <row r="12" spans="1:3" x14ac:dyDescent="0.2">
      <c r="A12" t="s">
        <v>31</v>
      </c>
      <c r="B12" t="s">
        <v>19</v>
      </c>
      <c r="C12">
        <v>13.8</v>
      </c>
    </row>
    <row r="13" spans="1:3" x14ac:dyDescent="0.2">
      <c r="A13" t="s">
        <v>31</v>
      </c>
      <c r="B13" t="s">
        <v>20</v>
      </c>
      <c r="C13">
        <v>25.5</v>
      </c>
    </row>
    <row r="14" spans="1:3" x14ac:dyDescent="0.2">
      <c r="A14" t="s">
        <v>32</v>
      </c>
      <c r="B14" t="s">
        <v>18</v>
      </c>
      <c r="C14">
        <v>90.8</v>
      </c>
    </row>
    <row r="15" spans="1:3" x14ac:dyDescent="0.2">
      <c r="A15" t="s">
        <v>32</v>
      </c>
      <c r="B15" t="s">
        <v>19</v>
      </c>
      <c r="C15">
        <v>16</v>
      </c>
    </row>
    <row r="16" spans="1:3" x14ac:dyDescent="0.2">
      <c r="A16" t="s">
        <v>32</v>
      </c>
      <c r="B16" t="s">
        <v>20</v>
      </c>
      <c r="C16">
        <v>31.7</v>
      </c>
    </row>
    <row r="17" spans="1:3" x14ac:dyDescent="0.2">
      <c r="A17" t="s">
        <v>33</v>
      </c>
      <c r="B17" t="s">
        <v>18</v>
      </c>
      <c r="C17">
        <v>91.4</v>
      </c>
    </row>
    <row r="18" spans="1:3" x14ac:dyDescent="0.2">
      <c r="A18" t="s">
        <v>33</v>
      </c>
      <c r="B18" t="s">
        <v>19</v>
      </c>
      <c r="C18">
        <v>14.9</v>
      </c>
    </row>
    <row r="19" spans="1:3" x14ac:dyDescent="0.2">
      <c r="A19" t="s">
        <v>33</v>
      </c>
      <c r="B19" t="s">
        <v>20</v>
      </c>
      <c r="C19">
        <v>26.2</v>
      </c>
    </row>
    <row r="20" spans="1:3" x14ac:dyDescent="0.2">
      <c r="A20" t="s">
        <v>34</v>
      </c>
      <c r="B20" t="s">
        <v>18</v>
      </c>
      <c r="C20">
        <v>91.5</v>
      </c>
    </row>
    <row r="21" spans="1:3" x14ac:dyDescent="0.2">
      <c r="A21" t="s">
        <v>34</v>
      </c>
      <c r="B21" t="s">
        <v>19</v>
      </c>
      <c r="C21">
        <v>14.7</v>
      </c>
    </row>
    <row r="22" spans="1:3" x14ac:dyDescent="0.2">
      <c r="A22" t="s">
        <v>34</v>
      </c>
      <c r="B22" t="s">
        <v>20</v>
      </c>
      <c r="C22">
        <v>26.1</v>
      </c>
    </row>
    <row r="23" spans="1:3" x14ac:dyDescent="0.2">
      <c r="A23" t="s">
        <v>35</v>
      </c>
      <c r="B23" t="s">
        <v>18</v>
      </c>
      <c r="C23">
        <v>92.1</v>
      </c>
    </row>
    <row r="24" spans="1:3" x14ac:dyDescent="0.2">
      <c r="A24" t="s">
        <v>35</v>
      </c>
      <c r="B24" t="s">
        <v>19</v>
      </c>
      <c r="C24">
        <v>13.8</v>
      </c>
    </row>
    <row r="25" spans="1:3" x14ac:dyDescent="0.2">
      <c r="A25" t="s">
        <v>35</v>
      </c>
      <c r="B25" t="s">
        <v>20</v>
      </c>
      <c r="C25">
        <v>24.9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AA8E-BD28-6F42-A216-64AE0F47AEC9}">
  <dimension ref="A1:O41"/>
  <sheetViews>
    <sheetView workbookViewId="0">
      <selection activeCell="C12" sqref="C12"/>
    </sheetView>
  </sheetViews>
  <sheetFormatPr baseColWidth="10" defaultRowHeight="16" x14ac:dyDescent="0.2"/>
  <cols>
    <col min="2" max="2" width="24.1640625" bestFit="1" customWidth="1"/>
    <col min="3" max="3" width="26.1640625" bestFit="1" customWidth="1"/>
    <col min="4" max="4" width="42.6640625" bestFit="1" customWidth="1"/>
    <col min="5" max="5" width="7.33203125" bestFit="1" customWidth="1"/>
    <col min="6" max="6" width="41.6640625" bestFit="1" customWidth="1"/>
    <col min="7" max="7" width="8.33203125" bestFit="1" customWidth="1"/>
    <col min="8" max="8" width="9.83203125" style="1" bestFit="1" customWidth="1"/>
    <col min="9" max="10" width="10.6640625" style="1" bestFit="1" customWidth="1"/>
    <col min="11" max="11" width="19.83203125" style="1" bestFit="1" customWidth="1"/>
    <col min="12" max="12" width="29" bestFit="1" customWidth="1"/>
    <col min="13" max="13" width="27.1640625" bestFit="1" customWidth="1"/>
    <col min="14" max="14" width="26" bestFit="1" customWidth="1"/>
    <col min="15" max="15" width="24.1640625" bestFit="1" customWidth="1"/>
  </cols>
  <sheetData>
    <row r="1" spans="1:15" x14ac:dyDescent="0.2">
      <c r="A1" s="4" t="s">
        <v>0</v>
      </c>
      <c r="B1" s="7" t="s">
        <v>18</v>
      </c>
      <c r="C1" s="7" t="s">
        <v>19</v>
      </c>
      <c r="D1" s="7" t="s">
        <v>20</v>
      </c>
      <c r="E1" t="s">
        <v>0</v>
      </c>
      <c r="F1" t="s">
        <v>36</v>
      </c>
      <c r="G1" t="s">
        <v>37</v>
      </c>
      <c r="H1" s="4" t="s">
        <v>1</v>
      </c>
      <c r="I1" s="4" t="s">
        <v>0</v>
      </c>
      <c r="J1" s="4" t="s">
        <v>2</v>
      </c>
      <c r="K1" s="4" t="s">
        <v>4</v>
      </c>
      <c r="L1" s="4" t="s">
        <v>5</v>
      </c>
      <c r="M1" s="4" t="s">
        <v>21</v>
      </c>
      <c r="N1" s="4" t="s">
        <v>22</v>
      </c>
      <c r="O1" s="4" t="s">
        <v>23</v>
      </c>
    </row>
    <row r="2" spans="1:15" x14ac:dyDescent="0.2">
      <c r="A2" t="s">
        <v>28</v>
      </c>
      <c r="B2" s="8">
        <v>93.65</v>
      </c>
      <c r="C2" s="8">
        <v>10.93</v>
      </c>
      <c r="D2" s="8">
        <v>17.920000000000002</v>
      </c>
      <c r="E2" t="s">
        <v>28</v>
      </c>
      <c r="F2" t="s">
        <v>18</v>
      </c>
      <c r="G2">
        <v>93.7</v>
      </c>
      <c r="H2" s="1" t="s">
        <v>3</v>
      </c>
      <c r="I2" s="3" t="s">
        <v>10</v>
      </c>
      <c r="J2" s="3">
        <v>93</v>
      </c>
      <c r="K2" s="3">
        <v>12.12</v>
      </c>
      <c r="L2" s="3">
        <v>21.34</v>
      </c>
      <c r="M2" s="3">
        <v>18.472330889999999</v>
      </c>
      <c r="N2" s="3">
        <v>2.7055042079999998</v>
      </c>
      <c r="O2" s="3">
        <v>5.1999798239999997</v>
      </c>
    </row>
    <row r="3" spans="1:15" x14ac:dyDescent="0.2">
      <c r="A3" t="s">
        <v>29</v>
      </c>
      <c r="B3" s="8">
        <v>93.64</v>
      </c>
      <c r="C3" s="8">
        <v>10.96</v>
      </c>
      <c r="D3" s="8">
        <v>17.98</v>
      </c>
      <c r="E3" t="s">
        <v>28</v>
      </c>
      <c r="F3" t="s">
        <v>19</v>
      </c>
      <c r="G3">
        <v>10.9</v>
      </c>
      <c r="H3" s="1" t="s">
        <v>6</v>
      </c>
      <c r="I3" s="1" t="s">
        <v>10</v>
      </c>
      <c r="J3" s="1">
        <v>93.42</v>
      </c>
      <c r="K3" s="1">
        <v>11.05</v>
      </c>
      <c r="L3" s="1">
        <v>18.809999999999999</v>
      </c>
      <c r="M3" s="1">
        <v>18.63917322</v>
      </c>
      <c r="N3" s="1">
        <v>2.2505052679999999</v>
      </c>
      <c r="O3" s="1">
        <v>4.038686502</v>
      </c>
    </row>
    <row r="4" spans="1:15" x14ac:dyDescent="0.2">
      <c r="A4" t="s">
        <v>30</v>
      </c>
      <c r="B4" s="8">
        <v>93.8</v>
      </c>
      <c r="C4" s="8">
        <v>6.67</v>
      </c>
      <c r="D4" s="8">
        <v>17.59</v>
      </c>
      <c r="E4" t="s">
        <v>28</v>
      </c>
      <c r="F4" t="s">
        <v>20</v>
      </c>
      <c r="G4">
        <v>17.899999999999999</v>
      </c>
      <c r="H4" s="1" t="s">
        <v>7</v>
      </c>
      <c r="I4" s="1" t="s">
        <v>10</v>
      </c>
      <c r="J4" s="1">
        <v>93.28</v>
      </c>
      <c r="K4" s="1">
        <v>11.27</v>
      </c>
      <c r="L4" s="1">
        <v>18.37</v>
      </c>
      <c r="M4" s="1">
        <v>18.580859239999999</v>
      </c>
      <c r="N4" s="1">
        <v>2.3373936720000001</v>
      </c>
      <c r="O4" s="1">
        <v>3.8533203669999998</v>
      </c>
    </row>
    <row r="5" spans="1:15" x14ac:dyDescent="0.2">
      <c r="A5" t="s">
        <v>31</v>
      </c>
      <c r="B5" s="8">
        <v>91.75</v>
      </c>
      <c r="C5" s="8">
        <v>13.83</v>
      </c>
      <c r="D5" s="8">
        <v>25.49</v>
      </c>
      <c r="E5" t="s">
        <v>29</v>
      </c>
      <c r="F5" t="s">
        <v>18</v>
      </c>
      <c r="G5">
        <v>93.6</v>
      </c>
      <c r="H5" s="1" t="s">
        <v>8</v>
      </c>
      <c r="I5" s="1" t="s">
        <v>10</v>
      </c>
      <c r="J5" s="1">
        <v>94.11</v>
      </c>
      <c r="K5" s="1">
        <v>10.3</v>
      </c>
      <c r="L5" s="1">
        <v>14.98</v>
      </c>
      <c r="M5" s="1">
        <v>18.916354850000001</v>
      </c>
      <c r="N5" s="1">
        <v>1.9552202649999999</v>
      </c>
      <c r="O5" s="1">
        <v>2.5626338359999998</v>
      </c>
    </row>
    <row r="6" spans="1:15" x14ac:dyDescent="0.2">
      <c r="A6" t="s">
        <v>32</v>
      </c>
      <c r="B6" s="8">
        <v>90.78</v>
      </c>
      <c r="C6" s="8">
        <v>16.04</v>
      </c>
      <c r="D6" s="8">
        <v>31.67</v>
      </c>
      <c r="E6" t="s">
        <v>29</v>
      </c>
      <c r="F6" t="s">
        <v>19</v>
      </c>
      <c r="G6">
        <v>11</v>
      </c>
      <c r="H6" s="1" t="s">
        <v>9</v>
      </c>
      <c r="I6" s="1" t="s">
        <v>10</v>
      </c>
      <c r="J6" s="1">
        <v>94.43</v>
      </c>
      <c r="K6" s="1">
        <v>9.56</v>
      </c>
      <c r="L6" s="1">
        <v>14.08</v>
      </c>
      <c r="M6" s="1">
        <v>19.043796539999999</v>
      </c>
      <c r="N6" s="1">
        <v>1.6818421059999999</v>
      </c>
      <c r="O6" s="1">
        <v>2.2649340609999999</v>
      </c>
    </row>
    <row r="7" spans="1:15" x14ac:dyDescent="0.2">
      <c r="A7" t="s">
        <v>33</v>
      </c>
      <c r="B7" s="8">
        <v>91.36</v>
      </c>
      <c r="C7" s="8">
        <v>14.93</v>
      </c>
      <c r="D7" s="8">
        <v>26.2</v>
      </c>
      <c r="E7" t="s">
        <v>29</v>
      </c>
      <c r="F7" t="s">
        <v>20</v>
      </c>
      <c r="G7">
        <v>18</v>
      </c>
      <c r="H7" s="1" t="s">
        <v>3</v>
      </c>
      <c r="I7" s="3" t="s">
        <v>11</v>
      </c>
      <c r="J7" s="3">
        <v>93.18</v>
      </c>
      <c r="K7" s="3">
        <v>11.89</v>
      </c>
      <c r="L7" s="3">
        <v>20.010000000000002</v>
      </c>
      <c r="M7" s="3">
        <v>18.542229949999999</v>
      </c>
      <c r="N7" s="3">
        <v>2.5959342159999999</v>
      </c>
      <c r="O7" s="3">
        <v>4.5602830660000002</v>
      </c>
    </row>
    <row r="8" spans="1:15" x14ac:dyDescent="0.2">
      <c r="A8" t="s">
        <v>34</v>
      </c>
      <c r="B8" s="8">
        <v>91.53</v>
      </c>
      <c r="C8" s="8">
        <v>14.69</v>
      </c>
      <c r="D8" s="8">
        <v>26.08</v>
      </c>
      <c r="E8" t="s">
        <v>30</v>
      </c>
      <c r="F8" t="s">
        <v>18</v>
      </c>
      <c r="G8">
        <v>93.8</v>
      </c>
      <c r="H8" s="1" t="s">
        <v>6</v>
      </c>
      <c r="I8" s="1" t="s">
        <v>11</v>
      </c>
      <c r="J8" s="1">
        <v>92.99</v>
      </c>
      <c r="K8" s="1">
        <v>11.71</v>
      </c>
      <c r="L8" s="1">
        <v>21.21</v>
      </c>
      <c r="M8" s="1">
        <v>18.469084649999999</v>
      </c>
      <c r="N8" s="1">
        <v>2.5163337559999999</v>
      </c>
      <c r="O8" s="1">
        <v>5.1235665700000004</v>
      </c>
    </row>
    <row r="9" spans="1:15" x14ac:dyDescent="0.2">
      <c r="A9" t="s">
        <v>35</v>
      </c>
      <c r="B9" s="8">
        <v>92.07</v>
      </c>
      <c r="C9" s="8">
        <v>13.84</v>
      </c>
      <c r="D9" s="8">
        <v>24.91</v>
      </c>
      <c r="E9" t="s">
        <v>30</v>
      </c>
      <c r="F9" t="s">
        <v>19</v>
      </c>
      <c r="G9">
        <v>6.7</v>
      </c>
      <c r="H9" s="1" t="s">
        <v>7</v>
      </c>
      <c r="I9" s="1" t="s">
        <v>11</v>
      </c>
      <c r="J9" s="1">
        <v>93.48</v>
      </c>
      <c r="K9" s="1">
        <v>10.97</v>
      </c>
      <c r="L9" s="1">
        <v>17.25</v>
      </c>
      <c r="M9" s="1">
        <v>18.664061709999999</v>
      </c>
      <c r="N9" s="1">
        <v>2.2091494159999998</v>
      </c>
      <c r="O9" s="1">
        <v>3.388172961</v>
      </c>
    </row>
    <row r="10" spans="1:15" x14ac:dyDescent="0.2">
      <c r="E10" t="s">
        <v>30</v>
      </c>
      <c r="F10" t="s">
        <v>20</v>
      </c>
      <c r="G10">
        <v>17.600000000000001</v>
      </c>
      <c r="H10" s="1" t="s">
        <v>8</v>
      </c>
      <c r="I10" s="1" t="s">
        <v>11</v>
      </c>
      <c r="J10" s="1">
        <v>94.17</v>
      </c>
      <c r="K10" s="1">
        <v>10.19</v>
      </c>
      <c r="L10" s="1">
        <v>15.23</v>
      </c>
      <c r="M10" s="1">
        <v>18.938427789999999</v>
      </c>
      <c r="N10" s="1">
        <v>1.9065620409999999</v>
      </c>
      <c r="O10" s="1">
        <v>2.641520028</v>
      </c>
    </row>
    <row r="11" spans="1:15" x14ac:dyDescent="0.2">
      <c r="E11" t="s">
        <v>31</v>
      </c>
      <c r="F11" t="s">
        <v>18</v>
      </c>
      <c r="G11">
        <v>91.8</v>
      </c>
      <c r="H11" s="1" t="s">
        <v>9</v>
      </c>
      <c r="I11" s="1" t="s">
        <v>11</v>
      </c>
      <c r="J11" s="1">
        <v>94.39</v>
      </c>
      <c r="K11" s="1">
        <v>9.6999999999999993</v>
      </c>
      <c r="L11" s="1">
        <v>14.09</v>
      </c>
      <c r="M11" s="1">
        <v>19.030882479999999</v>
      </c>
      <c r="N11" s="1">
        <v>1.7282049770000001</v>
      </c>
      <c r="O11" s="1">
        <v>2.2630515259999999</v>
      </c>
    </row>
    <row r="12" spans="1:15" x14ac:dyDescent="0.2">
      <c r="E12" t="s">
        <v>31</v>
      </c>
      <c r="F12" t="s">
        <v>19</v>
      </c>
      <c r="G12">
        <v>13.8</v>
      </c>
      <c r="H12" s="1" t="s">
        <v>3</v>
      </c>
      <c r="I12" s="3" t="s">
        <v>12</v>
      </c>
      <c r="J12" s="3">
        <v>93.07</v>
      </c>
      <c r="K12" s="3">
        <v>7.42</v>
      </c>
      <c r="L12" s="3">
        <v>21.04</v>
      </c>
      <c r="M12" s="3">
        <v>18.47174849</v>
      </c>
      <c r="N12" s="3">
        <v>1.6620283650000001</v>
      </c>
      <c r="O12" s="3">
        <v>5.1458065780000002</v>
      </c>
    </row>
    <row r="13" spans="1:15" x14ac:dyDescent="0.2">
      <c r="E13" t="s">
        <v>31</v>
      </c>
      <c r="F13" t="s">
        <v>20</v>
      </c>
      <c r="G13">
        <v>25.5</v>
      </c>
      <c r="H13" s="1" t="s">
        <v>6</v>
      </c>
      <c r="I13" s="1" t="s">
        <v>12</v>
      </c>
      <c r="J13" s="1">
        <v>93.42</v>
      </c>
      <c r="K13" s="1">
        <v>6.97</v>
      </c>
      <c r="L13" s="1">
        <v>18.95</v>
      </c>
      <c r="M13" s="1">
        <v>18.611057389999999</v>
      </c>
      <c r="N13" s="1">
        <v>1.469465026</v>
      </c>
      <c r="O13" s="1">
        <v>4.1720557239999998</v>
      </c>
    </row>
    <row r="14" spans="1:15" x14ac:dyDescent="0.2">
      <c r="E14" t="s">
        <v>32</v>
      </c>
      <c r="F14" t="s">
        <v>18</v>
      </c>
      <c r="G14">
        <v>90.8</v>
      </c>
      <c r="H14" s="1" t="s">
        <v>7</v>
      </c>
      <c r="I14" s="1" t="s">
        <v>12</v>
      </c>
      <c r="J14" s="1">
        <v>93.55</v>
      </c>
      <c r="K14" s="1">
        <v>6.82</v>
      </c>
      <c r="L14" s="1">
        <v>16.98</v>
      </c>
      <c r="M14" s="1">
        <v>18.663144280000001</v>
      </c>
      <c r="N14" s="1">
        <v>1.4052226999999999</v>
      </c>
      <c r="O14" s="1">
        <v>3.3488962550000001</v>
      </c>
    </row>
    <row r="15" spans="1:15" x14ac:dyDescent="0.2">
      <c r="E15" t="s">
        <v>32</v>
      </c>
      <c r="F15" t="s">
        <v>19</v>
      </c>
      <c r="G15">
        <v>16</v>
      </c>
      <c r="H15" s="1" t="s">
        <v>8</v>
      </c>
      <c r="I15" s="1" t="s">
        <v>12</v>
      </c>
      <c r="J15" s="1">
        <v>94.44</v>
      </c>
      <c r="K15" s="1">
        <v>5.96</v>
      </c>
      <c r="L15" s="1">
        <v>14.24</v>
      </c>
      <c r="M15" s="1">
        <v>19.0184186</v>
      </c>
      <c r="N15" s="1">
        <v>1.0735560420000001</v>
      </c>
      <c r="O15" s="1">
        <v>2.356290912</v>
      </c>
    </row>
    <row r="16" spans="1:15" x14ac:dyDescent="0.2">
      <c r="E16" t="s">
        <v>32</v>
      </c>
      <c r="F16" t="s">
        <v>20</v>
      </c>
      <c r="G16">
        <v>31.7</v>
      </c>
      <c r="H16" s="1" t="s">
        <v>9</v>
      </c>
      <c r="I16" s="1" t="s">
        <v>12</v>
      </c>
      <c r="J16" s="1">
        <v>94.47</v>
      </c>
      <c r="K16" s="1">
        <v>5.92</v>
      </c>
      <c r="L16" s="1">
        <v>14.85</v>
      </c>
      <c r="M16" s="1">
        <v>19.032209089999998</v>
      </c>
      <c r="N16" s="1">
        <v>1.0583001860000001</v>
      </c>
      <c r="O16" s="1">
        <v>2.5632478870000002</v>
      </c>
    </row>
    <row r="17" spans="4:15" x14ac:dyDescent="0.2">
      <c r="E17" t="s">
        <v>33</v>
      </c>
      <c r="F17" t="s">
        <v>18</v>
      </c>
      <c r="G17">
        <v>91.4</v>
      </c>
      <c r="H17" s="1" t="s">
        <v>3</v>
      </c>
      <c r="I17" s="3" t="s">
        <v>13</v>
      </c>
      <c r="J17" s="3">
        <v>90.94</v>
      </c>
      <c r="K17" s="3">
        <v>15.04</v>
      </c>
      <c r="L17" s="3">
        <v>26.75</v>
      </c>
      <c r="M17" s="3">
        <v>18.02970041</v>
      </c>
      <c r="N17" s="3">
        <v>3.3284621109999999</v>
      </c>
      <c r="O17" s="3">
        <v>5.756421918</v>
      </c>
    </row>
    <row r="18" spans="4:15" x14ac:dyDescent="0.2">
      <c r="E18" t="s">
        <v>33</v>
      </c>
      <c r="F18" t="s">
        <v>19</v>
      </c>
      <c r="G18">
        <v>14.9</v>
      </c>
      <c r="H18" s="1" t="s">
        <v>6</v>
      </c>
      <c r="I18" s="1" t="s">
        <v>13</v>
      </c>
      <c r="J18" s="1">
        <v>89.95</v>
      </c>
      <c r="K18" s="1">
        <v>16.309999999999999</v>
      </c>
      <c r="L18" s="1">
        <v>31.82</v>
      </c>
      <c r="M18" s="1">
        <v>17.639653599999999</v>
      </c>
      <c r="N18" s="1">
        <v>3.9152430819999999</v>
      </c>
      <c r="O18" s="1">
        <v>8.1470677029999994</v>
      </c>
    </row>
    <row r="19" spans="4:15" x14ac:dyDescent="0.2">
      <c r="E19" t="s">
        <v>33</v>
      </c>
      <c r="F19" t="s">
        <v>20</v>
      </c>
      <c r="G19">
        <v>26.2</v>
      </c>
      <c r="H19" s="1" t="s">
        <v>7</v>
      </c>
      <c r="I19" s="1" t="s">
        <v>13</v>
      </c>
      <c r="J19" s="1">
        <v>92.03</v>
      </c>
      <c r="K19" s="1">
        <v>13.01</v>
      </c>
      <c r="L19" s="1">
        <v>22.36</v>
      </c>
      <c r="M19" s="1">
        <v>18.46519717</v>
      </c>
      <c r="N19" s="1">
        <v>2.4911557389999999</v>
      </c>
      <c r="O19" s="1">
        <v>4.0206433979999998</v>
      </c>
    </row>
    <row r="20" spans="4:15" x14ac:dyDescent="0.2">
      <c r="E20" t="s">
        <v>34</v>
      </c>
      <c r="F20" t="s">
        <v>18</v>
      </c>
      <c r="G20">
        <v>91.5</v>
      </c>
      <c r="H20" s="1" t="s">
        <v>8</v>
      </c>
      <c r="I20" s="1" t="s">
        <v>13</v>
      </c>
      <c r="J20" s="1">
        <v>92.87</v>
      </c>
      <c r="K20" s="1">
        <v>11.87</v>
      </c>
      <c r="L20" s="1">
        <v>21.69</v>
      </c>
      <c r="M20" s="1">
        <v>18.803273520000001</v>
      </c>
      <c r="N20" s="1">
        <v>2.0720534819999998</v>
      </c>
      <c r="O20" s="1">
        <v>3.7840554129999999</v>
      </c>
    </row>
    <row r="21" spans="4:15" x14ac:dyDescent="0.2">
      <c r="D21">
        <v>3</v>
      </c>
      <c r="E21" t="s">
        <v>34</v>
      </c>
      <c r="F21" t="s">
        <v>19</v>
      </c>
      <c r="G21">
        <v>14.7</v>
      </c>
      <c r="H21" s="1" t="s">
        <v>9</v>
      </c>
      <c r="I21" s="1" t="s">
        <v>13</v>
      </c>
      <c r="J21" s="1">
        <v>92.9</v>
      </c>
      <c r="K21" s="1">
        <v>11.73</v>
      </c>
      <c r="L21" s="1">
        <v>21.69</v>
      </c>
      <c r="M21" s="1">
        <v>18.813588719999998</v>
      </c>
      <c r="N21" s="1">
        <v>2.025623892</v>
      </c>
      <c r="O21" s="1">
        <v>3.7846451540000001</v>
      </c>
    </row>
    <row r="22" spans="4:15" x14ac:dyDescent="0.2">
      <c r="E22" t="s">
        <v>34</v>
      </c>
      <c r="F22" t="s">
        <v>20</v>
      </c>
      <c r="G22">
        <v>26.1</v>
      </c>
      <c r="H22" s="1" t="s">
        <v>3</v>
      </c>
      <c r="I22" s="3" t="s">
        <v>14</v>
      </c>
      <c r="J22" s="3">
        <v>89.33</v>
      </c>
      <c r="K22" s="3">
        <v>18.420000000000002</v>
      </c>
      <c r="L22" s="3">
        <v>36.049999999999997</v>
      </c>
      <c r="M22" s="3">
        <v>17.582010289999999</v>
      </c>
      <c r="N22" s="3">
        <v>4.2865805650000004</v>
      </c>
      <c r="O22" s="3">
        <v>8.3376599589999998</v>
      </c>
    </row>
    <row r="23" spans="4:15" x14ac:dyDescent="0.2">
      <c r="E23" t="s">
        <v>35</v>
      </c>
      <c r="F23" t="s">
        <v>18</v>
      </c>
      <c r="G23">
        <v>92.1</v>
      </c>
      <c r="H23" s="1" t="s">
        <v>6</v>
      </c>
      <c r="I23" s="1" t="s">
        <v>14</v>
      </c>
      <c r="J23" s="1">
        <v>91.62</v>
      </c>
      <c r="K23" s="1">
        <v>14.16</v>
      </c>
      <c r="L23" s="1">
        <v>28.67</v>
      </c>
      <c r="M23" s="1">
        <v>18.495286610000001</v>
      </c>
      <c r="N23" s="1">
        <v>2.5309200199999999</v>
      </c>
      <c r="O23" s="1">
        <v>5.2732780080000001</v>
      </c>
    </row>
    <row r="24" spans="4:15" x14ac:dyDescent="0.2">
      <c r="E24" t="s">
        <v>35</v>
      </c>
      <c r="F24" t="s">
        <v>19</v>
      </c>
      <c r="G24">
        <v>13.8</v>
      </c>
      <c r="H24" s="1" t="s">
        <v>7</v>
      </c>
      <c r="I24" s="1" t="s">
        <v>14</v>
      </c>
      <c r="J24" s="1">
        <v>89.64</v>
      </c>
      <c r="K24" s="1">
        <v>17.53</v>
      </c>
      <c r="L24" s="1">
        <v>35.89</v>
      </c>
      <c r="M24" s="1">
        <v>17.705853309999998</v>
      </c>
      <c r="N24" s="1">
        <v>3.8829955159999998</v>
      </c>
      <c r="O24" s="1">
        <v>8.2674731420000001</v>
      </c>
    </row>
    <row r="25" spans="4:15" x14ac:dyDescent="0.2">
      <c r="E25" t="s">
        <v>35</v>
      </c>
      <c r="F25" t="s">
        <v>20</v>
      </c>
      <c r="G25">
        <v>24.9</v>
      </c>
      <c r="H25" s="1" t="s">
        <v>8</v>
      </c>
      <c r="I25" s="1" t="s">
        <v>14</v>
      </c>
      <c r="J25" s="1">
        <v>91.8</v>
      </c>
      <c r="K25" s="1">
        <v>14.3</v>
      </c>
      <c r="L25" s="1">
        <v>26.8</v>
      </c>
      <c r="M25" s="1">
        <v>18.570578980000001</v>
      </c>
      <c r="N25" s="1">
        <v>2.5826076690000002</v>
      </c>
      <c r="O25" s="1">
        <v>4.6095141740000001</v>
      </c>
    </row>
    <row r="26" spans="4:15" x14ac:dyDescent="0.2">
      <c r="H26" s="1" t="s">
        <v>9</v>
      </c>
      <c r="I26" s="1" t="s">
        <v>14</v>
      </c>
      <c r="J26" s="1">
        <v>91.43</v>
      </c>
      <c r="K26" s="1">
        <v>14.77</v>
      </c>
      <c r="L26" s="1">
        <v>28.43</v>
      </c>
      <c r="M26" s="1">
        <v>18.422016859999999</v>
      </c>
      <c r="N26" s="1">
        <v>2.7533709640000001</v>
      </c>
      <c r="O26" s="1">
        <v>5.1864199920000003</v>
      </c>
    </row>
    <row r="27" spans="4:15" x14ac:dyDescent="0.2">
      <c r="H27" s="1" t="s">
        <v>3</v>
      </c>
      <c r="I27" s="3" t="s">
        <v>15</v>
      </c>
      <c r="J27" s="3">
        <v>90.67</v>
      </c>
      <c r="K27" s="3">
        <v>16.23</v>
      </c>
      <c r="L27" s="3">
        <v>30.3</v>
      </c>
      <c r="M27" s="3">
        <v>18.001101240000001</v>
      </c>
      <c r="N27" s="3">
        <v>3.5642616540000001</v>
      </c>
      <c r="O27" s="3">
        <v>7.1028413209999997</v>
      </c>
    </row>
    <row r="28" spans="4:15" x14ac:dyDescent="0.2">
      <c r="H28" s="1" t="s">
        <v>6</v>
      </c>
      <c r="I28" s="1" t="s">
        <v>15</v>
      </c>
      <c r="J28" s="1">
        <v>89.94</v>
      </c>
      <c r="K28" s="1">
        <v>16.559999999999999</v>
      </c>
      <c r="L28" s="1">
        <v>25.58</v>
      </c>
      <c r="M28" s="1">
        <v>17.710517530000001</v>
      </c>
      <c r="N28" s="1">
        <v>3.711243224</v>
      </c>
      <c r="O28" s="1">
        <v>5.0624606520000004</v>
      </c>
    </row>
    <row r="29" spans="4:15" x14ac:dyDescent="0.2">
      <c r="H29" s="1" t="s">
        <v>7</v>
      </c>
      <c r="I29" s="1" t="s">
        <v>15</v>
      </c>
      <c r="J29" s="1">
        <v>91.23</v>
      </c>
      <c r="K29" s="1">
        <v>14.89</v>
      </c>
      <c r="L29" s="1">
        <v>27.91</v>
      </c>
      <c r="M29" s="1">
        <v>18.222090789999999</v>
      </c>
      <c r="N29" s="1">
        <v>2.999340294</v>
      </c>
      <c r="O29" s="1">
        <v>6.0266922520000001</v>
      </c>
    </row>
    <row r="30" spans="4:15" x14ac:dyDescent="0.2">
      <c r="H30" s="1" t="s">
        <v>8</v>
      </c>
      <c r="I30" s="1" t="s">
        <v>15</v>
      </c>
      <c r="J30" s="1">
        <v>92.26</v>
      </c>
      <c r="K30" s="1">
        <v>13.51</v>
      </c>
      <c r="L30" s="1">
        <v>23.37</v>
      </c>
      <c r="M30" s="1">
        <v>18.637958380000001</v>
      </c>
      <c r="N30" s="1">
        <v>2.4677660800000001</v>
      </c>
      <c r="O30" s="1">
        <v>4.2224123039999997</v>
      </c>
    </row>
    <row r="31" spans="4:15" x14ac:dyDescent="0.2">
      <c r="H31" s="1" t="s">
        <v>9</v>
      </c>
      <c r="I31" s="1" t="s">
        <v>15</v>
      </c>
      <c r="J31" s="1">
        <v>92.62</v>
      </c>
      <c r="K31" s="1">
        <v>12.72</v>
      </c>
      <c r="L31" s="1">
        <v>22.13</v>
      </c>
      <c r="M31" s="1">
        <v>18.783458299999999</v>
      </c>
      <c r="N31" s="1">
        <v>2.1905110109999999</v>
      </c>
      <c r="O31" s="1">
        <v>3.786132184</v>
      </c>
    </row>
    <row r="32" spans="4:15" x14ac:dyDescent="0.2">
      <c r="H32" s="1" t="s">
        <v>3</v>
      </c>
      <c r="I32" s="3" t="s">
        <v>16</v>
      </c>
      <c r="J32" s="3">
        <v>89.97</v>
      </c>
      <c r="K32" s="3">
        <v>17.329999999999998</v>
      </c>
      <c r="L32" s="3">
        <v>33.130000000000003</v>
      </c>
      <c r="M32" s="3">
        <v>17.69142501</v>
      </c>
      <c r="N32" s="3">
        <v>4.1543480080000004</v>
      </c>
      <c r="O32" s="3">
        <v>8.6892460329999999</v>
      </c>
    </row>
    <row r="33" spans="8:15" x14ac:dyDescent="0.2">
      <c r="H33" s="1" t="s">
        <v>6</v>
      </c>
      <c r="I33" s="1" t="s">
        <v>16</v>
      </c>
      <c r="J33" s="1">
        <v>90.64</v>
      </c>
      <c r="K33" s="1">
        <v>15.38</v>
      </c>
      <c r="L33" s="1">
        <v>24.08</v>
      </c>
      <c r="M33" s="1">
        <v>17.954328199999999</v>
      </c>
      <c r="N33" s="1">
        <v>3.273145848</v>
      </c>
      <c r="O33" s="1">
        <v>4.5916382020000004</v>
      </c>
    </row>
    <row r="34" spans="8:15" x14ac:dyDescent="0.2">
      <c r="H34" s="1" t="s">
        <v>7</v>
      </c>
      <c r="I34" s="1" t="s">
        <v>16</v>
      </c>
      <c r="J34" s="1">
        <v>91.44</v>
      </c>
      <c r="K34" s="1">
        <v>14.49</v>
      </c>
      <c r="L34" s="1">
        <v>27.07</v>
      </c>
      <c r="M34" s="1">
        <v>18.271586790000001</v>
      </c>
      <c r="N34" s="1">
        <v>2.9027349249999999</v>
      </c>
      <c r="O34" s="1">
        <v>5.8014891229999996</v>
      </c>
    </row>
    <row r="35" spans="8:15" x14ac:dyDescent="0.2">
      <c r="H35" s="1" t="s">
        <v>8</v>
      </c>
      <c r="I35" s="1" t="s">
        <v>16</v>
      </c>
      <c r="J35" s="1">
        <v>92.89</v>
      </c>
      <c r="K35" s="1">
        <v>12.44</v>
      </c>
      <c r="L35" s="1">
        <v>20.100000000000001</v>
      </c>
      <c r="M35" s="1">
        <v>18.856526410000001</v>
      </c>
      <c r="N35" s="1">
        <v>2.140592125</v>
      </c>
      <c r="O35" s="1">
        <v>3.1984137800000001</v>
      </c>
    </row>
    <row r="36" spans="8:15" x14ac:dyDescent="0.2">
      <c r="H36" s="1" t="s">
        <v>9</v>
      </c>
      <c r="I36" s="1" t="s">
        <v>16</v>
      </c>
      <c r="J36" s="1">
        <v>92.64</v>
      </c>
      <c r="K36" s="1">
        <v>12.66</v>
      </c>
      <c r="L36" s="1">
        <v>21.91</v>
      </c>
      <c r="M36" s="1">
        <v>18.757228380000001</v>
      </c>
      <c r="N36" s="1">
        <v>2.217918498</v>
      </c>
      <c r="O36" s="1">
        <v>3.8019718309999999</v>
      </c>
    </row>
    <row r="37" spans="8:15" x14ac:dyDescent="0.2">
      <c r="H37" s="1" t="s">
        <v>3</v>
      </c>
      <c r="I37" s="3" t="s">
        <v>17</v>
      </c>
      <c r="J37" s="3">
        <v>90.27</v>
      </c>
      <c r="K37" s="3">
        <v>16.829999999999998</v>
      </c>
      <c r="L37" s="3">
        <v>31.71</v>
      </c>
      <c r="M37" s="3">
        <v>17.70068242</v>
      </c>
      <c r="N37" s="3">
        <v>4.1647346890000003</v>
      </c>
      <c r="O37" s="3">
        <v>8.3449707380000007</v>
      </c>
    </row>
    <row r="38" spans="8:15" x14ac:dyDescent="0.2">
      <c r="H38" s="1" t="s">
        <v>6</v>
      </c>
      <c r="I38" s="1" t="s">
        <v>17</v>
      </c>
      <c r="J38" s="1">
        <v>92.83</v>
      </c>
      <c r="K38" s="1">
        <v>11.91</v>
      </c>
      <c r="L38" s="1">
        <v>21.88</v>
      </c>
      <c r="M38" s="1">
        <v>18.721250510000001</v>
      </c>
      <c r="N38" s="1">
        <v>2.0860517710000002</v>
      </c>
      <c r="O38" s="1">
        <v>3.9752880269999999</v>
      </c>
    </row>
    <row r="39" spans="8:15" x14ac:dyDescent="0.2">
      <c r="H39" s="1" t="s">
        <v>7</v>
      </c>
      <c r="I39" s="1" t="s">
        <v>17</v>
      </c>
      <c r="J39" s="1">
        <v>91.52</v>
      </c>
      <c r="K39" s="1">
        <v>14.42</v>
      </c>
      <c r="L39" s="1">
        <v>26.37</v>
      </c>
      <c r="M39" s="1">
        <v>18.197128230000001</v>
      </c>
      <c r="N39" s="1">
        <v>3.0567798750000001</v>
      </c>
      <c r="O39" s="1">
        <v>5.773280787</v>
      </c>
    </row>
    <row r="40" spans="8:15" x14ac:dyDescent="0.2">
      <c r="H40" s="1" t="s">
        <v>8</v>
      </c>
      <c r="I40" s="1" t="s">
        <v>17</v>
      </c>
      <c r="J40" s="1">
        <v>92.91</v>
      </c>
      <c r="K40" s="1">
        <v>12.39</v>
      </c>
      <c r="L40" s="1">
        <v>19.760000000000002</v>
      </c>
      <c r="M40" s="1">
        <v>18.751214510000001</v>
      </c>
      <c r="N40" s="1">
        <v>2.2582901390000001</v>
      </c>
      <c r="O40" s="1">
        <v>3.2410122939999999</v>
      </c>
    </row>
    <row r="41" spans="8:15" x14ac:dyDescent="0.2">
      <c r="H41" s="1" t="s">
        <v>9</v>
      </c>
      <c r="I41" s="1" t="s">
        <v>17</v>
      </c>
      <c r="J41" s="1">
        <v>92.79</v>
      </c>
      <c r="K41" s="1">
        <v>12.44</v>
      </c>
      <c r="L41" s="1">
        <v>20.75</v>
      </c>
      <c r="M41" s="1">
        <v>18.7037698</v>
      </c>
      <c r="N41" s="1">
        <v>2.2764983050000001</v>
      </c>
      <c r="O41" s="1">
        <v>3.573924254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560A-135B-8B43-A09B-FF4A743595A9}">
  <dimension ref="A1:L41"/>
  <sheetViews>
    <sheetView workbookViewId="0">
      <selection activeCell="L12" sqref="L12"/>
    </sheetView>
  </sheetViews>
  <sheetFormatPr baseColWidth="10" defaultRowHeight="16" x14ac:dyDescent="0.2"/>
  <cols>
    <col min="1" max="1" width="10.6640625" bestFit="1" customWidth="1"/>
    <col min="2" max="2" width="24.1640625" bestFit="1" customWidth="1"/>
    <col min="3" max="3" width="26.1640625" bestFit="1" customWidth="1"/>
    <col min="4" max="4" width="42.6640625" bestFit="1" customWidth="1"/>
    <col min="6" max="6" width="9.83203125" bestFit="1" customWidth="1"/>
    <col min="7" max="7" width="12.1640625" bestFit="1" customWidth="1"/>
    <col min="8" max="8" width="19.83203125" bestFit="1" customWidth="1"/>
    <col min="9" max="9" width="29" bestFit="1" customWidth="1"/>
    <col min="10" max="10" width="12.1640625" bestFit="1" customWidth="1"/>
  </cols>
  <sheetData>
    <row r="1" spans="1:12" x14ac:dyDescent="0.2">
      <c r="A1" s="4" t="s">
        <v>24</v>
      </c>
      <c r="B1" s="4" t="s">
        <v>18</v>
      </c>
      <c r="C1" s="4" t="s">
        <v>19</v>
      </c>
      <c r="D1" s="4" t="s">
        <v>20</v>
      </c>
      <c r="E1" s="4" t="s">
        <v>1</v>
      </c>
      <c r="F1" s="4" t="s">
        <v>0</v>
      </c>
      <c r="G1" s="4" t="s">
        <v>2</v>
      </c>
      <c r="H1" s="4" t="s">
        <v>4</v>
      </c>
      <c r="I1" s="4" t="s">
        <v>5</v>
      </c>
      <c r="J1" s="4" t="s">
        <v>27</v>
      </c>
      <c r="K1" s="4" t="s">
        <v>25</v>
      </c>
      <c r="L1" s="4" t="s">
        <v>26</v>
      </c>
    </row>
    <row r="2" spans="1:12" x14ac:dyDescent="0.2">
      <c r="A2" t="s">
        <v>28</v>
      </c>
      <c r="B2" s="5">
        <v>93.652514745330819</v>
      </c>
      <c r="C2" s="5">
        <v>10.930465519759982</v>
      </c>
      <c r="D2" s="5">
        <v>17.919554589213224</v>
      </c>
      <c r="E2" s="9" t="s">
        <v>3</v>
      </c>
      <c r="F2" s="9" t="s">
        <v>10</v>
      </c>
      <c r="G2" s="10">
        <v>93.00332292317303</v>
      </c>
      <c r="H2" s="10">
        <v>12.120861961274199</v>
      </c>
      <c r="I2" s="10">
        <v>21.34124921923798</v>
      </c>
      <c r="J2" t="str">
        <f>UPPER("Berkshire")</f>
        <v>BERKSHIRE</v>
      </c>
      <c r="K2">
        <v>-73.232264000000001</v>
      </c>
      <c r="L2">
        <v>42.399994999999997</v>
      </c>
    </row>
    <row r="3" spans="1:12" x14ac:dyDescent="0.2">
      <c r="A3" t="s">
        <v>29</v>
      </c>
      <c r="B3" s="5">
        <v>93.64468658144142</v>
      </c>
      <c r="C3" s="5">
        <v>10.956184406319576</v>
      </c>
      <c r="D3" s="5">
        <v>17.976594149599993</v>
      </c>
      <c r="E3" t="s">
        <v>6</v>
      </c>
      <c r="F3" t="s">
        <v>10</v>
      </c>
      <c r="G3" s="5">
        <v>93.4223824155046</v>
      </c>
      <c r="H3" s="5">
        <v>11.054762467501771</v>
      </c>
      <c r="I3" s="5">
        <v>18.80784684471756</v>
      </c>
      <c r="J3" t="str">
        <f>UPPER("Franklin")</f>
        <v>FRANKLIN</v>
      </c>
      <c r="K3">
        <v>-72.615116999999998</v>
      </c>
      <c r="L3">
        <v>42.530599000000002</v>
      </c>
    </row>
    <row r="4" spans="1:12" x14ac:dyDescent="0.2">
      <c r="A4" t="s">
        <v>30</v>
      </c>
      <c r="B4" s="5">
        <v>93.796577846365963</v>
      </c>
      <c r="C4" s="5">
        <v>6.6685723186428927</v>
      </c>
      <c r="D4" s="5">
        <v>17.586297355962142</v>
      </c>
      <c r="E4" t="s">
        <v>7</v>
      </c>
      <c r="F4" t="s">
        <v>10</v>
      </c>
      <c r="G4" s="5">
        <v>93.276128647327909</v>
      </c>
      <c r="H4" s="5">
        <v>11.266144841889931</v>
      </c>
      <c r="I4" s="5">
        <v>18.371159473818789</v>
      </c>
      <c r="J4" t="str">
        <f>UPPER("Hampden")</f>
        <v>HAMPDEN</v>
      </c>
      <c r="K4">
        <v>-72.485545999999999</v>
      </c>
      <c r="L4">
        <v>42.121991999999999</v>
      </c>
    </row>
    <row r="5" spans="1:12" x14ac:dyDescent="0.2">
      <c r="A5" t="s">
        <v>31</v>
      </c>
      <c r="B5" s="5">
        <v>91.751413414268455</v>
      </c>
      <c r="C5" s="5">
        <v>13.832538306261231</v>
      </c>
      <c r="D5" s="5">
        <v>25.492833586086451</v>
      </c>
      <c r="E5" t="s">
        <v>8</v>
      </c>
      <c r="F5" t="s">
        <v>10</v>
      </c>
      <c r="G5" s="5">
        <v>94.114457300275475</v>
      </c>
      <c r="H5" s="5">
        <v>10.304033057851241</v>
      </c>
      <c r="I5" s="5">
        <v>14.981741046831949</v>
      </c>
      <c r="J5" t="str">
        <f>UPPER("Worcester")</f>
        <v>WORCESTER</v>
      </c>
      <c r="K5">
        <v>-71.798889000000003</v>
      </c>
      <c r="L5">
        <v>42.271388999999999</v>
      </c>
    </row>
    <row r="6" spans="1:12" x14ac:dyDescent="0.2">
      <c r="A6" t="s">
        <v>32</v>
      </c>
      <c r="B6" s="5">
        <v>90.775746052107962</v>
      </c>
      <c r="C6" s="5">
        <v>16.036474734057443</v>
      </c>
      <c r="D6" s="5">
        <v>31.674345275198824</v>
      </c>
      <c r="E6" t="s">
        <v>9</v>
      </c>
      <c r="F6" t="s">
        <v>10</v>
      </c>
      <c r="G6" s="5">
        <v>94.430955165692012</v>
      </c>
      <c r="H6" s="5">
        <v>9.5565692007797267</v>
      </c>
      <c r="I6" s="5">
        <v>14.08467368421053</v>
      </c>
      <c r="J6" t="str">
        <f>UPPER("Hampshire")</f>
        <v>HAMPSHIRE</v>
      </c>
      <c r="K6">
        <v>-72.534734490000005</v>
      </c>
      <c r="L6">
        <v>42.330458559999997</v>
      </c>
    </row>
    <row r="7" spans="1:12" x14ac:dyDescent="0.2">
      <c r="A7" t="s">
        <v>33</v>
      </c>
      <c r="B7" s="5">
        <v>91.355126227117523</v>
      </c>
      <c r="C7" s="5">
        <v>14.933122263257195</v>
      </c>
      <c r="D7" s="5">
        <v>26.200538712244537</v>
      </c>
      <c r="E7" s="9" t="s">
        <v>3</v>
      </c>
      <c r="F7" s="9" t="s">
        <v>11</v>
      </c>
      <c r="G7" s="10">
        <v>93.175146380964236</v>
      </c>
      <c r="H7" s="10">
        <v>11.889298617167061</v>
      </c>
      <c r="I7" s="10">
        <v>20.00803538059051</v>
      </c>
    </row>
    <row r="8" spans="1:12" x14ac:dyDescent="0.2">
      <c r="A8" t="s">
        <v>34</v>
      </c>
      <c r="B8" s="5">
        <v>91.531094794304721</v>
      </c>
      <c r="C8" s="5">
        <v>14.688739404972834</v>
      </c>
      <c r="D8" s="5">
        <v>26.082758968791719</v>
      </c>
      <c r="E8" t="s">
        <v>6</v>
      </c>
      <c r="F8" t="s">
        <v>11</v>
      </c>
      <c r="G8" s="5">
        <v>92.991186359269918</v>
      </c>
      <c r="H8" s="5">
        <v>11.70559558117195</v>
      </c>
      <c r="I8" s="5">
        <v>21.20775696445725</v>
      </c>
    </row>
    <row r="9" spans="1:12" x14ac:dyDescent="0.2">
      <c r="A9" t="s">
        <v>35</v>
      </c>
      <c r="B9" s="5">
        <v>92.074045465637198</v>
      </c>
      <c r="C9" s="5">
        <v>13.842354777956324</v>
      </c>
      <c r="D9" s="5">
        <v>24.908476098715632</v>
      </c>
      <c r="E9" t="s">
        <v>7</v>
      </c>
      <c r="F9" t="s">
        <v>11</v>
      </c>
      <c r="G9" s="5">
        <v>93.480748961325034</v>
      </c>
      <c r="H9" s="5">
        <v>10.967861026684879</v>
      </c>
      <c r="I9" s="5">
        <v>17.246117168111979</v>
      </c>
    </row>
    <row r="10" spans="1:12" x14ac:dyDescent="0.2">
      <c r="E10" t="s">
        <v>8</v>
      </c>
      <c r="F10" t="s">
        <v>11</v>
      </c>
      <c r="G10" s="5">
        <v>94.165336713325232</v>
      </c>
      <c r="H10" s="5">
        <v>10.189077482640799</v>
      </c>
      <c r="I10" s="5">
        <v>15.227741651052581</v>
      </c>
    </row>
    <row r="11" spans="1:12" x14ac:dyDescent="0.2">
      <c r="E11" t="s">
        <v>9</v>
      </c>
      <c r="F11" t="s">
        <v>11</v>
      </c>
      <c r="G11" s="5">
        <v>94.394907712074215</v>
      </c>
      <c r="H11" s="5">
        <v>9.7007881294851295</v>
      </c>
      <c r="I11" s="5">
        <v>14.09469775312588</v>
      </c>
    </row>
    <row r="12" spans="1:12" x14ac:dyDescent="0.2">
      <c r="E12" s="9" t="s">
        <v>3</v>
      </c>
      <c r="F12" s="9" t="s">
        <v>12</v>
      </c>
      <c r="G12" s="10">
        <v>93.073195745758412</v>
      </c>
      <c r="H12" s="10">
        <v>7.4150671055963544</v>
      </c>
      <c r="I12" s="10">
        <v>21.044365662192959</v>
      </c>
    </row>
    <row r="13" spans="1:12" x14ac:dyDescent="0.2">
      <c r="E13" t="s">
        <v>6</v>
      </c>
      <c r="F13" t="s">
        <v>12</v>
      </c>
      <c r="G13" s="5">
        <v>93.423502851711035</v>
      </c>
      <c r="H13" s="5">
        <v>6.9722908745247141</v>
      </c>
      <c r="I13" s="5">
        <v>18.94890684410646</v>
      </c>
    </row>
    <row r="14" spans="1:12" x14ac:dyDescent="0.2">
      <c r="E14" t="s">
        <v>7</v>
      </c>
      <c r="F14" t="s">
        <v>12</v>
      </c>
      <c r="G14" s="5">
        <v>93.554144002691643</v>
      </c>
      <c r="H14" s="5">
        <v>6.8181797790612908</v>
      </c>
      <c r="I14" s="5">
        <v>16.976961251612181</v>
      </c>
    </row>
    <row r="15" spans="1:12" x14ac:dyDescent="0.2">
      <c r="E15" t="s">
        <v>8</v>
      </c>
      <c r="F15" t="s">
        <v>12</v>
      </c>
      <c r="G15" s="5">
        <v>94.440401271790364</v>
      </c>
      <c r="H15" s="5">
        <v>5.9594781273983122</v>
      </c>
      <c r="I15" s="5">
        <v>14.240445126630849</v>
      </c>
    </row>
    <row r="16" spans="1:12" x14ac:dyDescent="0.2">
      <c r="E16" t="s">
        <v>9</v>
      </c>
      <c r="F16" t="s">
        <v>12</v>
      </c>
      <c r="G16" s="5">
        <v>94.474635027893456</v>
      </c>
      <c r="H16" s="5">
        <v>5.9169827924884109</v>
      </c>
      <c r="I16" s="5">
        <v>14.852665985699691</v>
      </c>
    </row>
    <row r="17" spans="5:9" x14ac:dyDescent="0.2">
      <c r="E17" s="9" t="s">
        <v>3</v>
      </c>
      <c r="F17" s="9" t="s">
        <v>13</v>
      </c>
      <c r="G17" s="10">
        <v>90.939359999999994</v>
      </c>
      <c r="H17" s="10">
        <v>15.04069</v>
      </c>
      <c r="I17" s="10">
        <v>26.750240000000002</v>
      </c>
    </row>
    <row r="18" spans="5:9" x14ac:dyDescent="0.2">
      <c r="E18" t="s">
        <v>6</v>
      </c>
      <c r="F18" t="s">
        <v>13</v>
      </c>
      <c r="G18" s="5">
        <v>89.950310000000002</v>
      </c>
      <c r="H18" s="5">
        <v>16.31268</v>
      </c>
      <c r="I18" s="5">
        <v>31.823799999999999</v>
      </c>
    </row>
    <row r="19" spans="5:9" x14ac:dyDescent="0.2">
      <c r="E19" t="s">
        <v>7</v>
      </c>
      <c r="F19" t="s">
        <v>13</v>
      </c>
      <c r="G19" s="5">
        <v>92.031099999999995</v>
      </c>
      <c r="H19" s="5">
        <v>13.01207</v>
      </c>
      <c r="I19" s="5">
        <v>22.356259999999999</v>
      </c>
    </row>
    <row r="20" spans="5:9" x14ac:dyDescent="0.2">
      <c r="E20" t="s">
        <v>8</v>
      </c>
      <c r="F20" t="s">
        <v>13</v>
      </c>
      <c r="G20" s="5">
        <v>92.869770000000003</v>
      </c>
      <c r="H20" s="5">
        <v>11.867150000000001</v>
      </c>
      <c r="I20" s="5">
        <v>21.68853</v>
      </c>
    </row>
    <row r="21" spans="5:9" x14ac:dyDescent="0.2">
      <c r="E21" t="s">
        <v>9</v>
      </c>
      <c r="F21" t="s">
        <v>13</v>
      </c>
      <c r="G21" s="5">
        <v>92.895240000000001</v>
      </c>
      <c r="H21" s="5">
        <v>11.73344</v>
      </c>
      <c r="I21" s="5">
        <v>21.69022</v>
      </c>
    </row>
    <row r="22" spans="5:9" x14ac:dyDescent="0.2">
      <c r="E22" s="9" t="s">
        <v>3</v>
      </c>
      <c r="F22" s="9" t="s">
        <v>14</v>
      </c>
      <c r="G22" s="10">
        <v>89.32535</v>
      </c>
      <c r="H22" s="10">
        <v>18.422889999999999</v>
      </c>
      <c r="I22" s="10">
        <v>36.046210000000002</v>
      </c>
    </row>
    <row r="23" spans="5:9" x14ac:dyDescent="0.2">
      <c r="E23" t="s">
        <v>6</v>
      </c>
      <c r="F23" t="s">
        <v>14</v>
      </c>
      <c r="G23" s="5">
        <v>91.615930000000006</v>
      </c>
      <c r="H23" s="5">
        <v>14.156029999999999</v>
      </c>
      <c r="I23" s="5">
        <v>28.666709999999998</v>
      </c>
    </row>
    <row r="24" spans="5:9" x14ac:dyDescent="0.2">
      <c r="E24" t="s">
        <v>7</v>
      </c>
      <c r="F24" t="s">
        <v>14</v>
      </c>
      <c r="G24" s="5">
        <v>89.639390000000006</v>
      </c>
      <c r="H24" s="5">
        <v>17.534189999999999</v>
      </c>
      <c r="I24" s="5">
        <v>35.894170000000003</v>
      </c>
    </row>
    <row r="25" spans="5:9" x14ac:dyDescent="0.2">
      <c r="E25" t="s">
        <v>8</v>
      </c>
      <c r="F25" t="s">
        <v>14</v>
      </c>
      <c r="G25" s="5">
        <v>91.802220000000005</v>
      </c>
      <c r="H25" s="5">
        <v>14.299849999999999</v>
      </c>
      <c r="I25" s="5">
        <v>26.801870000000001</v>
      </c>
    </row>
    <row r="26" spans="5:9" x14ac:dyDescent="0.2">
      <c r="E26" t="s">
        <v>9</v>
      </c>
      <c r="F26" t="s">
        <v>14</v>
      </c>
      <c r="G26" s="5">
        <v>91.434280000000001</v>
      </c>
      <c r="H26" s="5">
        <v>14.765040000000001</v>
      </c>
      <c r="I26" s="5">
        <v>28.429639999999999</v>
      </c>
    </row>
    <row r="27" spans="5:9" x14ac:dyDescent="0.2">
      <c r="E27" s="9" t="s">
        <v>3</v>
      </c>
      <c r="F27" s="9" t="s">
        <v>15</v>
      </c>
      <c r="G27" s="10">
        <v>90.672460000000001</v>
      </c>
      <c r="H27" s="10">
        <v>16.23086</v>
      </c>
      <c r="I27" s="10">
        <v>30.304200000000002</v>
      </c>
    </row>
    <row r="28" spans="5:9" x14ac:dyDescent="0.2">
      <c r="E28" t="s">
        <v>6</v>
      </c>
      <c r="F28" t="s">
        <v>15</v>
      </c>
      <c r="G28" s="5">
        <v>89.937640000000002</v>
      </c>
      <c r="H28" s="5">
        <v>16.562139999999999</v>
      </c>
      <c r="I28" s="5">
        <v>25.583950000000002</v>
      </c>
    </row>
    <row r="29" spans="5:9" x14ac:dyDescent="0.2">
      <c r="E29" t="s">
        <v>7</v>
      </c>
      <c r="F29" t="s">
        <v>15</v>
      </c>
      <c r="G29" s="5">
        <v>91.227329999999995</v>
      </c>
      <c r="H29" s="5">
        <v>14.889139999999999</v>
      </c>
      <c r="I29" s="5">
        <v>27.914269999999998</v>
      </c>
    </row>
    <row r="30" spans="5:9" x14ac:dyDescent="0.2">
      <c r="E30" t="s">
        <v>8</v>
      </c>
      <c r="F30" t="s">
        <v>15</v>
      </c>
      <c r="G30" s="5">
        <v>92.262460000000004</v>
      </c>
      <c r="H30" s="5">
        <v>13.50544</v>
      </c>
      <c r="I30" s="5">
        <v>23.365069999999999</v>
      </c>
    </row>
    <row r="31" spans="5:9" x14ac:dyDescent="0.2">
      <c r="E31" t="s">
        <v>9</v>
      </c>
      <c r="F31" t="s">
        <v>15</v>
      </c>
      <c r="G31" s="5">
        <v>92.621889999999993</v>
      </c>
      <c r="H31" s="5">
        <v>12.724170000000001</v>
      </c>
      <c r="I31" s="5">
        <v>22.125070000000001</v>
      </c>
    </row>
    <row r="32" spans="5:9" x14ac:dyDescent="0.2">
      <c r="E32" s="9" t="s">
        <v>3</v>
      </c>
      <c r="F32" s="9" t="s">
        <v>16</v>
      </c>
      <c r="G32" s="10">
        <v>89.974204332709277</v>
      </c>
      <c r="H32" s="10">
        <v>17.332000534902381</v>
      </c>
      <c r="I32" s="10">
        <v>33.125274137469923</v>
      </c>
    </row>
    <row r="33" spans="5:9" x14ac:dyDescent="0.2">
      <c r="E33" t="s">
        <v>6</v>
      </c>
      <c r="F33" t="s">
        <v>16</v>
      </c>
      <c r="G33" s="5">
        <v>90.640269196822615</v>
      </c>
      <c r="H33" s="5">
        <v>15.38437775816417</v>
      </c>
      <c r="I33" s="5">
        <v>24.079766107678729</v>
      </c>
    </row>
    <row r="34" spans="5:9" x14ac:dyDescent="0.2">
      <c r="E34" t="s">
        <v>7</v>
      </c>
      <c r="F34" t="s">
        <v>16</v>
      </c>
      <c r="G34" s="5">
        <v>91.437583361591507</v>
      </c>
      <c r="H34" s="5">
        <v>14.4877500847745</v>
      </c>
      <c r="I34" s="5">
        <v>27.06687860291624</v>
      </c>
    </row>
    <row r="35" spans="5:9" x14ac:dyDescent="0.2">
      <c r="E35" t="s">
        <v>8</v>
      </c>
      <c r="F35" t="s">
        <v>16</v>
      </c>
      <c r="G35" s="5">
        <v>92.889677190493089</v>
      </c>
      <c r="H35" s="5">
        <v>12.44125576445548</v>
      </c>
      <c r="I35" s="5">
        <v>20.09720941232116</v>
      </c>
    </row>
    <row r="36" spans="5:9" x14ac:dyDescent="0.2">
      <c r="E36" t="s">
        <v>9</v>
      </c>
      <c r="F36" t="s">
        <v>16</v>
      </c>
      <c r="G36" s="5">
        <v>92.644776915615907</v>
      </c>
      <c r="H36" s="5">
        <v>12.663975105075981</v>
      </c>
      <c r="I36" s="5">
        <v>21.911538958939541</v>
      </c>
    </row>
    <row r="37" spans="5:9" x14ac:dyDescent="0.2">
      <c r="E37" s="9" t="s">
        <v>3</v>
      </c>
      <c r="F37" s="9" t="s">
        <v>17</v>
      </c>
      <c r="G37" s="10">
        <v>90.265379999999993</v>
      </c>
      <c r="H37" s="10">
        <v>16.826170000000001</v>
      </c>
      <c r="I37" s="10">
        <v>31.707409999999999</v>
      </c>
    </row>
    <row r="38" spans="5:9" x14ac:dyDescent="0.2">
      <c r="E38" t="s">
        <v>6</v>
      </c>
      <c r="F38" t="s">
        <v>17</v>
      </c>
      <c r="G38" s="5">
        <v>92.831130000000002</v>
      </c>
      <c r="H38" s="5">
        <v>11.90842</v>
      </c>
      <c r="I38" s="5">
        <v>21.8843</v>
      </c>
    </row>
    <row r="39" spans="5:9" x14ac:dyDescent="0.2">
      <c r="E39" t="s">
        <v>7</v>
      </c>
      <c r="F39" t="s">
        <v>17</v>
      </c>
      <c r="G39" s="5">
        <v>91.522450000000006</v>
      </c>
      <c r="H39" s="5">
        <v>14.4153</v>
      </c>
      <c r="I39" s="5">
        <v>26.373010000000001</v>
      </c>
    </row>
    <row r="40" spans="5:9" x14ac:dyDescent="0.2">
      <c r="E40" t="s">
        <v>8</v>
      </c>
      <c r="F40" t="s">
        <v>17</v>
      </c>
      <c r="G40" s="5">
        <v>92.905389999999997</v>
      </c>
      <c r="H40" s="5">
        <v>12.39029</v>
      </c>
      <c r="I40" s="5">
        <v>19.760079999999999</v>
      </c>
    </row>
    <row r="41" spans="5:9" x14ac:dyDescent="0.2">
      <c r="E41" t="s">
        <v>9</v>
      </c>
      <c r="F41" t="s">
        <v>17</v>
      </c>
      <c r="G41" s="5">
        <v>92.787779999999998</v>
      </c>
      <c r="H41" s="5">
        <v>12.44014</v>
      </c>
      <c r="I41" s="5">
        <v>20.750139999999998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CB07-6EA6-4148-9CAB-8D1D69295829}">
  <dimension ref="A1:D6"/>
  <sheetViews>
    <sheetView workbookViewId="0">
      <selection activeCell="D10" sqref="D10"/>
    </sheetView>
  </sheetViews>
  <sheetFormatPr baseColWidth="10" defaultRowHeight="16" x14ac:dyDescent="0.2"/>
  <cols>
    <col min="2" max="2" width="10.6640625" bestFit="1" customWidth="1"/>
    <col min="3" max="3" width="19.83203125" bestFit="1" customWidth="1"/>
    <col min="4" max="4" width="29" bestFit="1" customWidth="1"/>
  </cols>
  <sheetData>
    <row r="1" spans="1:4" x14ac:dyDescent="0.2">
      <c r="A1" s="4" t="s">
        <v>1</v>
      </c>
      <c r="B1" s="4" t="s">
        <v>2</v>
      </c>
      <c r="C1" s="4" t="s">
        <v>4</v>
      </c>
      <c r="D1" s="4" t="s">
        <v>5</v>
      </c>
    </row>
    <row r="2" spans="1:4" x14ac:dyDescent="0.2">
      <c r="A2" s="11" t="s">
        <v>3</v>
      </c>
      <c r="B2" s="12">
        <v>90.265379999999993</v>
      </c>
      <c r="C2" s="12">
        <v>16.826170000000001</v>
      </c>
      <c r="D2" s="12">
        <v>31.707409999999999</v>
      </c>
    </row>
    <row r="3" spans="1:4" x14ac:dyDescent="0.2">
      <c r="A3" s="11" t="s">
        <v>6</v>
      </c>
      <c r="B3" s="12">
        <v>92.831130000000002</v>
      </c>
      <c r="C3" s="12">
        <v>11.90842</v>
      </c>
      <c r="D3" s="12">
        <v>21.8843</v>
      </c>
    </row>
    <row r="4" spans="1:4" x14ac:dyDescent="0.2">
      <c r="A4" s="11" t="s">
        <v>7</v>
      </c>
      <c r="B4" s="12">
        <v>91.522450000000006</v>
      </c>
      <c r="C4" s="12">
        <v>14.4153</v>
      </c>
      <c r="D4" s="12">
        <v>26.373010000000001</v>
      </c>
    </row>
    <row r="5" spans="1:4" x14ac:dyDescent="0.2">
      <c r="A5" s="11" t="s">
        <v>8</v>
      </c>
      <c r="B5" s="12">
        <v>92.905389999999997</v>
      </c>
      <c r="C5" s="12">
        <v>12.39029</v>
      </c>
      <c r="D5" s="12">
        <v>19.760079999999999</v>
      </c>
    </row>
    <row r="6" spans="1:4" x14ac:dyDescent="0.2">
      <c r="A6" s="11" t="s">
        <v>9</v>
      </c>
      <c r="B6" s="12">
        <v>92.787779999999998</v>
      </c>
      <c r="C6" s="12">
        <v>12.44014</v>
      </c>
      <c r="D6" s="12">
        <v>20.750139999999998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A60699-9B91-AA4B-A36E-96D85DE8B5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Weights</vt:lpstr>
      <vt:lpstr>Overall Avgs Vis</vt:lpstr>
      <vt:lpstr>Overall Avgs.</vt:lpstr>
      <vt:lpstr>Aggregated Data</vt:lpstr>
      <vt:lpstr>County Map Data (24-25)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Chiashi I</dc:creator>
  <cp:lastModifiedBy>Yang, Chiashi I</cp:lastModifiedBy>
  <dcterms:created xsi:type="dcterms:W3CDTF">2026-04-19T18:48:41Z</dcterms:created>
  <dcterms:modified xsi:type="dcterms:W3CDTF">2026-05-05T15:03:50Z</dcterms:modified>
</cp:coreProperties>
</file>